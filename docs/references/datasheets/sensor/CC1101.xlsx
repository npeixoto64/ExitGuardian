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<sst xmlns="http://schemas.openxmlformats.org/spreadsheetml/2006/main" count="15" uniqueCount="13">
  <si>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MHz</t>
  </si>
  <si>
    <t xml:space="preserve">FREQ2</t>
  </si>
  <si>
    <t xml:space="preserve">FREQ1</t>
  </si>
  <si>
    <t xml:space="preserve">FREQ0</t>
  </si>
  <si>
    <t xml:space="preserve">Bandwith (kHz)</t>
  </si>
  <si>
    <t xml:space="preserve">Max 3</t>
  </si>
  <si>
    <t xml:space="preserve">BW_E</t>
  </si>
  <si>
    <t xml:space="preserve">BW_M</t>
  </si>
  <si>
    <t xml:space="preserve">kbps</t>
  </si>
  <si>
    <t xml:space="preserve">Max 15</t>
  </si>
  <si>
    <t xml:space="preserve">DRATE_E</t>
  </si>
  <si>
    <t xml:space="preserve">Max 255</t>
  </si>
  <si>
    <t xml:space="preserve">DRATE_M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</si>
</sst>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3.07"/>
  </cols>
  <sheetData>
    <row r="2" customFormat="false" ht="12.8" hidden="false" customHeight="false" outlineLevel="0" collapsed="false">
      <c r="B2" s="1" t="n">
        <v>433.92</v>
      </c>
      <c r="C2" s="0" t="s">
        <v>0</v>
      </c>
    </row>
    <row r="3" customFormat="false" ht="12.8" hidden="false" customHeight="false" outlineLevel="0" collapsed="false">
      <c r="B3" s="1" t="n">
        <v>26</v>
      </c>
      <c r="C3" s="0" t="s">
        <v>0</v>
      </c>
    </row>
    <row r="4" customFormat="false" ht="12.8" hidden="false" customHeight="false" outlineLevel="0" collapsed="false">
      <c r="A4" s="2"/>
      <c r="B4" s="2"/>
    </row>
    <row r="5" customFormat="false" ht="12.8" hidden="false" customHeight="false" outlineLevel="0" collapsed="false">
      <c r="B5" s="3" t="str">
        <f aca="false">DEC2HEX(MOD(INT((B2*1000000)/((B3*1000000)/2^16) / 65536), 256))</f>
        <v>10</v>
      </c>
      <c r="C5" s="0" t="s">
        <v>1</v>
      </c>
    </row>
    <row r="6" customFormat="false" ht="12.8" hidden="false" customHeight="false" outlineLevel="0" collapsed="false">
      <c r="B6" s="3" t="str">
        <f aca="false">DEC2HEX(MOD(INT((B2*1000000)/((B3*1000000)/2^16)/ 256), 256))</f>
        <v>B0</v>
      </c>
      <c r="C6" s="0" t="s">
        <v>2</v>
      </c>
    </row>
    <row r="7" customFormat="false" ht="12.8" hidden="false" customHeight="false" outlineLevel="0" collapsed="false">
      <c r="B7" s="3" t="str">
        <f aca="false">DEC2HEX(MOD((B2*1000000)/((B3*1000000)/2^16),256))</f>
        <v>71</v>
      </c>
      <c r="C7" s="0" t="s">
        <v>3</v>
      </c>
    </row>
    <row r="9" customFormat="false" ht="12.8" hidden="false" customHeight="false" outlineLevel="0" collapsed="false">
      <c r="B9" s="3" t="str">
        <f aca="false">DEC2HEX((B2*1000000)/((B3*1000000)/2^16))</f>
        <v>10B071</v>
      </c>
    </row>
    <row r="13" customFormat="false" ht="12.8" hidden="false" customHeight="false" outlineLevel="0" collapsed="false">
      <c r="B13" s="0" t="n">
        <f aca="false">(B3*1000000)/(8*(4+B16)*2^B15)/1000</f>
        <v>203.125</v>
      </c>
      <c r="C13" s="0" t="s">
        <v>4</v>
      </c>
    </row>
    <row r="15" customFormat="false" ht="12.8" hidden="false" customHeight="false" outlineLevel="0" collapsed="false">
      <c r="A15" s="0" t="s">
        <v>5</v>
      </c>
      <c r="B15" s="0" t="n">
        <v>2</v>
      </c>
      <c r="C15" s="0" t="s">
        <v>6</v>
      </c>
    </row>
    <row r="16" customFormat="false" ht="12.8" hidden="false" customHeight="false" outlineLevel="0" collapsed="false">
      <c r="A16" s="0" t="s">
        <v>5</v>
      </c>
      <c r="B16" s="0" t="n">
        <v>0</v>
      </c>
      <c r="C16" s="0" t="s">
        <v>7</v>
      </c>
    </row>
    <row r="19" customFormat="false" ht="12.8" hidden="false" customHeight="false" outlineLevel="0" collapsed="false">
      <c r="B19" s="0" t="n">
        <f aca="false">((((256+B22)*2^B21)*B3*1000000)/2^28)/1000</f>
        <v>1.25217437744141</v>
      </c>
      <c r="C19" s="0" t="s">
        <v>8</v>
      </c>
    </row>
    <row r="21" customFormat="false" ht="12.8" hidden="false" customHeight="false" outlineLevel="0" collapsed="false">
      <c r="A21" s="0" t="s">
        <v>9</v>
      </c>
      <c r="B21" s="0" t="n">
        <v>5</v>
      </c>
      <c r="C21" s="0" t="s">
        <v>10</v>
      </c>
    </row>
    <row r="22" customFormat="false" ht="12.8" hidden="false" customHeight="false" outlineLevel="0" collapsed="false">
      <c r="A22" s="0" t="s">
        <v>11</v>
      </c>
      <c r="B22" s="0" t="n">
        <v>148</v>
      </c>
      <c r="C22" s="0" t="s">
        <v>12</v>
      </c>
      <c r="D22" s="0" t="str">
        <f aca="false">DEC2HEX(B22)</f>
        <v>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2026-01-29T22:13:08Z</dcterms:created>
  <dc:creator/>
  <dc:description/>
  <dc:language>en-US</dc:language>
  <cp:lastModifiedBy/>
  <dcterms:modified xsi:type="dcterms:W3CDTF">2026-02-08T23:36:59Z</dcterms:modified>
  <cp:revision>22</cp:revision>
  <dc:subject/>
  <dc:title/>
</cp:coreProperties>
</file>